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Scorecard" sheetId="1" state="visible" r:id="rId1"/>
    <sheet xmlns:r="http://schemas.openxmlformats.org/officeDocument/2006/relationships" name="Weights" sheetId="2" state="visible" r:id="rId2"/>
    <sheet xmlns:r="http://schemas.openxmlformats.org/officeDocument/2006/relationships" name="Dashboard Pr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BBB59"/>
      </patternFill>
    </fill>
    <fill>
      <patternFill patternType="solid">
        <fgColor rgb="00C0504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/>
    </xf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18" customWidth="1" min="5" max="5"/>
    <col width="16" customWidth="1" min="6" max="6"/>
    <col width="2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6" customWidth="1" min="14" max="14"/>
  </cols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Technical Capability</t>
        </is>
      </c>
      <c r="D1" s="1" t="inlineStr">
        <is>
          <t>Quality Performance</t>
        </is>
      </c>
      <c r="E1" s="1" t="inlineStr">
        <is>
          <t>Financial Health</t>
        </is>
      </c>
      <c r="F1" s="1" t="inlineStr">
        <is>
          <t>ESG Compliance</t>
        </is>
      </c>
      <c r="G1" s="1" t="inlineStr">
        <is>
          <t>Innovation Capability</t>
        </is>
      </c>
      <c r="H1" s="1" t="inlineStr">
        <is>
          <t>Technical Subscore</t>
        </is>
      </c>
      <c r="I1" s="1" t="inlineStr">
        <is>
          <t>Quality Subscore</t>
        </is>
      </c>
      <c r="J1" s="1" t="inlineStr">
        <is>
          <t>Financial Subscore</t>
        </is>
      </c>
      <c r="K1" s="1" t="inlineStr">
        <is>
          <t>ESG Subscore</t>
        </is>
      </c>
      <c r="L1" s="1" t="inlineStr">
        <is>
          <t>Innovation Subscore</t>
        </is>
      </c>
      <c r="M1" s="1" t="inlineStr">
        <is>
          <t>Composite Score</t>
        </is>
      </c>
      <c r="N1" s="1" t="inlineStr">
        <is>
          <t>Country</t>
        </is>
      </c>
    </row>
    <row r="2">
      <c r="A2" s="2" t="n">
        <v>1</v>
      </c>
      <c r="B2" s="2" t="inlineStr">
        <is>
          <t>Foxconn</t>
        </is>
      </c>
      <c r="C2" s="2" t="n">
        <v>85</v>
      </c>
      <c r="D2" s="2" t="n">
        <v>78</v>
      </c>
      <c r="E2" s="2" t="n">
        <v>82</v>
      </c>
      <c r="F2" s="2" t="n">
        <v>60</v>
      </c>
      <c r="G2" s="2" t="n">
        <v>70</v>
      </c>
      <c r="H2" s="2" t="n">
        <v>0.85</v>
      </c>
      <c r="I2" s="2" t="n">
        <v>0.78</v>
      </c>
      <c r="J2" s="2" t="n">
        <v>0.82</v>
      </c>
      <c r="K2" s="2" t="n">
        <v>0.6</v>
      </c>
      <c r="L2" s="2" t="n">
        <v>0.7</v>
      </c>
      <c r="M2" s="2">
        <f>SUM(C2*Weights!B2, D2*Weights!B3, E2*Weights!B4, F2*Weights!B5, G2*Weights!B6)</f>
        <v/>
      </c>
      <c r="N2" s="2" t="inlineStr">
        <is>
          <t>China</t>
        </is>
      </c>
    </row>
    <row r="3">
      <c r="A3" s="2" t="n">
        <v>2</v>
      </c>
      <c r="B3" s="2" t="inlineStr">
        <is>
          <t>Jabil</t>
        </is>
      </c>
      <c r="C3" s="2" t="n">
        <v>80</v>
      </c>
      <c r="D3" s="2" t="n">
        <v>82</v>
      </c>
      <c r="E3" s="2" t="n">
        <v>75</v>
      </c>
      <c r="F3" s="2" t="n">
        <v>70</v>
      </c>
      <c r="G3" s="2" t="n">
        <v>78</v>
      </c>
      <c r="H3" s="2" t="n">
        <v>0.8</v>
      </c>
      <c r="I3" s="2" t="n">
        <v>0.82</v>
      </c>
      <c r="J3" s="2" t="n">
        <v>0.75</v>
      </c>
      <c r="K3" s="2" t="n">
        <v>0.7</v>
      </c>
      <c r="L3" s="2" t="n">
        <v>0.78</v>
      </c>
      <c r="M3" s="2">
        <f>SUM(C3*Weights!B2, D3*Weights!B3, E3*Weights!B4, F3*Weights!B5, G3*Weights!B6)</f>
        <v/>
      </c>
      <c r="N3" s="2" t="inlineStr">
        <is>
          <t>USA</t>
        </is>
      </c>
    </row>
    <row r="4">
      <c r="A4" s="2" t="n">
        <v>3</v>
      </c>
      <c r="B4" s="2" t="inlineStr">
        <is>
          <t>Flex</t>
        </is>
      </c>
      <c r="C4" s="2" t="n">
        <v>78</v>
      </c>
      <c r="D4" s="2" t="n">
        <v>80</v>
      </c>
      <c r="E4" s="2" t="n">
        <v>79</v>
      </c>
      <c r="F4" s="2" t="n">
        <v>72</v>
      </c>
      <c r="G4" s="2" t="n">
        <v>76</v>
      </c>
      <c r="H4" s="2" t="n">
        <v>0.78</v>
      </c>
      <c r="I4" s="2" t="n">
        <v>0.8</v>
      </c>
      <c r="J4" s="2" t="n">
        <v>0.79</v>
      </c>
      <c r="K4" s="2" t="n">
        <v>0.72</v>
      </c>
      <c r="L4" s="2" t="n">
        <v>0.76</v>
      </c>
      <c r="M4" s="2">
        <f>SUM(C4*Weights!B2, D4*Weights!B3, E4*Weights!B4, F4*Weights!B5, G4*Weights!B6)</f>
        <v/>
      </c>
      <c r="N4" s="2" t="inlineStr">
        <is>
          <t>Singapore</t>
        </is>
      </c>
    </row>
    <row r="5">
      <c r="A5" s="2" t="n">
        <v>4</v>
      </c>
      <c r="B5" s="2" t="inlineStr">
        <is>
          <t>Pegatron</t>
        </is>
      </c>
      <c r="C5" s="2" t="n">
        <v>76</v>
      </c>
      <c r="D5" s="2" t="n">
        <v>74</v>
      </c>
      <c r="E5" s="2" t="n">
        <v>70</v>
      </c>
      <c r="F5" s="2" t="n">
        <v>58</v>
      </c>
      <c r="G5" s="2" t="n">
        <v>65</v>
      </c>
      <c r="H5" s="2" t="n">
        <v>0.76</v>
      </c>
      <c r="I5" s="2" t="n">
        <v>0.74</v>
      </c>
      <c r="J5" s="2" t="n">
        <v>0.7</v>
      </c>
      <c r="K5" s="2" t="n">
        <v>0.58</v>
      </c>
      <c r="L5" s="2" t="n">
        <v>0.65</v>
      </c>
      <c r="M5" s="2">
        <f>SUM(C5*Weights!B2, D5*Weights!B3, E5*Weights!B4, F5*Weights!B5, G5*Weights!B6)</f>
        <v/>
      </c>
      <c r="N5" s="2" t="inlineStr">
        <is>
          <t>Taiwan</t>
        </is>
      </c>
    </row>
    <row r="6">
      <c r="A6" s="2" t="n">
        <v>5</v>
      </c>
      <c r="B6" s="2" t="inlineStr">
        <is>
          <t>Wistron</t>
        </is>
      </c>
      <c r="C6" s="2" t="n">
        <v>75</v>
      </c>
      <c r="D6" s="2" t="n">
        <v>73</v>
      </c>
      <c r="E6" s="2" t="n">
        <v>68</v>
      </c>
      <c r="F6" s="2" t="n">
        <v>62</v>
      </c>
      <c r="G6" s="2" t="n">
        <v>63</v>
      </c>
      <c r="H6" s="2" t="n">
        <v>0.75</v>
      </c>
      <c r="I6" s="2" t="n">
        <v>0.73</v>
      </c>
      <c r="J6" s="2" t="n">
        <v>0.68</v>
      </c>
      <c r="K6" s="2" t="n">
        <v>0.62</v>
      </c>
      <c r="L6" s="2" t="n">
        <v>0.63</v>
      </c>
      <c r="M6" s="2">
        <f>SUM(C6*Weights!B2, D6*Weights!B3, E6*Weights!B4, F6*Weights!B5, G6*Weights!B6)</f>
        <v/>
      </c>
      <c r="N6" s="2" t="inlineStr">
        <is>
          <t>Taiwan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Metric</t>
        </is>
      </c>
      <c r="B1" s="3" t="inlineStr">
        <is>
          <t>Weight (%)</t>
        </is>
      </c>
    </row>
    <row r="2">
      <c r="A2" s="2" t="inlineStr">
        <is>
          <t>Technical Capability</t>
        </is>
      </c>
      <c r="B2" s="2" t="n">
        <v>25</v>
      </c>
    </row>
    <row r="3">
      <c r="A3" s="2" t="inlineStr">
        <is>
          <t>Quality Performance</t>
        </is>
      </c>
      <c r="B3" s="2" t="n">
        <v>25</v>
      </c>
    </row>
    <row r="4">
      <c r="A4" s="2" t="inlineStr">
        <is>
          <t>Financial Health</t>
        </is>
      </c>
      <c r="B4" s="2" t="n">
        <v>15</v>
      </c>
    </row>
    <row r="5">
      <c r="A5" s="2" t="inlineStr">
        <is>
          <t>ESG Compliance</t>
        </is>
      </c>
      <c r="B5" s="2" t="n">
        <v>20</v>
      </c>
    </row>
    <row r="6">
      <c r="A6" s="2" t="inlineStr">
        <is>
          <t>Innovation Capability</t>
        </is>
      </c>
      <c r="B6" s="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Supplier Name</t>
        </is>
      </c>
      <c r="B1" s="4" t="inlineStr">
        <is>
          <t>Composite Score</t>
        </is>
      </c>
      <c r="C1" s="4" t="inlineStr">
        <is>
          <t>Technical</t>
        </is>
      </c>
      <c r="D1" s="4" t="inlineStr">
        <is>
          <t>Quality</t>
        </is>
      </c>
      <c r="E1" s="4" t="inlineStr">
        <is>
          <t>Financial</t>
        </is>
      </c>
      <c r="F1" s="4" t="inlineStr">
        <is>
          <t>ESG</t>
        </is>
      </c>
      <c r="G1" s="4" t="inlineStr">
        <is>
          <t>Innovation</t>
        </is>
      </c>
    </row>
    <row r="2">
      <c r="A2" s="2">
        <f>Supplier Scorecard!B2</f>
        <v/>
      </c>
      <c r="B2" s="2">
        <f>Supplier Scorecard!M2</f>
        <v/>
      </c>
      <c r="C2" s="2">
        <f>Supplier Scorecard!C2</f>
        <v/>
      </c>
      <c r="D2" s="2">
        <f>Supplier Scorecard!D2</f>
        <v/>
      </c>
      <c r="E2" s="2">
        <f>Supplier Scorecard!E2</f>
        <v/>
      </c>
      <c r="F2" s="2">
        <f>Supplier Scorecard!F2</f>
        <v/>
      </c>
      <c r="G2" s="2">
        <f>Supplier Scorecard!G2</f>
        <v/>
      </c>
    </row>
    <row r="3">
      <c r="A3" s="2">
        <f>Supplier Scorecard!B3</f>
        <v/>
      </c>
      <c r="B3" s="2">
        <f>Supplier Scorecard!M3</f>
        <v/>
      </c>
      <c r="C3" s="2">
        <f>Supplier Scorecard!C3</f>
        <v/>
      </c>
      <c r="D3" s="2">
        <f>Supplier Scorecard!D3</f>
        <v/>
      </c>
      <c r="E3" s="2">
        <f>Supplier Scorecard!E3</f>
        <v/>
      </c>
      <c r="F3" s="2">
        <f>Supplier Scorecard!F3</f>
        <v/>
      </c>
      <c r="G3" s="2">
        <f>Supplier Scorecard!G3</f>
        <v/>
      </c>
    </row>
    <row r="4">
      <c r="A4" s="2">
        <f>Supplier Scorecard!B4</f>
        <v/>
      </c>
      <c r="B4" s="2">
        <f>Supplier Scorecard!M4</f>
        <v/>
      </c>
      <c r="C4" s="2">
        <f>Supplier Scorecard!C4</f>
        <v/>
      </c>
      <c r="D4" s="2">
        <f>Supplier Scorecard!D4</f>
        <v/>
      </c>
      <c r="E4" s="2">
        <f>Supplier Scorecard!E4</f>
        <v/>
      </c>
      <c r="F4" s="2">
        <f>Supplier Scorecard!F4</f>
        <v/>
      </c>
      <c r="G4" s="2">
        <f>Supplier Scorecard!G4</f>
        <v/>
      </c>
    </row>
    <row r="5">
      <c r="A5" s="2">
        <f>Supplier Scorecard!B5</f>
        <v/>
      </c>
      <c r="B5" s="2">
        <f>Supplier Scorecard!M5</f>
        <v/>
      </c>
      <c r="C5" s="2">
        <f>Supplier Scorecard!C5</f>
        <v/>
      </c>
      <c r="D5" s="2">
        <f>Supplier Scorecard!D5</f>
        <v/>
      </c>
      <c r="E5" s="2">
        <f>Supplier Scorecard!E5</f>
        <v/>
      </c>
      <c r="F5" s="2">
        <f>Supplier Scorecard!F5</f>
        <v/>
      </c>
      <c r="G5" s="2">
        <f>Supplier Scorecard!G5</f>
        <v/>
      </c>
    </row>
    <row r="6">
      <c r="A6" s="2">
        <f>Supplier Scorecard!B6</f>
        <v/>
      </c>
      <c r="B6" s="2">
        <f>Supplier Scorecard!M6</f>
        <v/>
      </c>
      <c r="C6" s="2">
        <f>Supplier Scorecard!C6</f>
        <v/>
      </c>
      <c r="D6" s="2">
        <f>Supplier Scorecard!D6</f>
        <v/>
      </c>
      <c r="E6" s="2">
        <f>Supplier Scorecard!E6</f>
        <v/>
      </c>
      <c r="F6" s="2">
        <f>Supplier Scorecard!F6</f>
        <v/>
      </c>
      <c r="G6" s="2">
        <f>Supplier Scorecard!G6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2025-12-09T06:37:07Z</dcterms:created>
  <dcterms:modified xmlns:dcterms="http://purl.org/dc/terms/" xmlns:xsi="http://www.w3.org/2001/XMLSchema-instance" xsi:type="dcterms:W3CDTF">2025-12-09T06:37:07Z</dcterms:modified>
</cp:coreProperties>
</file>